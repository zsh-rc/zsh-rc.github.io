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o Zelian\source\repos\everest\assets\data\"/>
    </mc:Choice>
  </mc:AlternateContent>
  <xr:revisionPtr revIDLastSave="0" documentId="8_{83199A29-E747-415F-B3BF-0DDBF72FAE07}" xr6:coauthVersionLast="47" xr6:coauthVersionMax="47" xr10:uidLastSave="{00000000-0000-0000-0000-000000000000}"/>
  <bookViews>
    <workbookView xWindow="-110" yWindow="-110" windowWidth="34620" windowHeight="13900" xr2:uid="{70CD119B-4CD2-49C4-B45C-D3A292B5EB50}"/>
  </bookViews>
  <sheets>
    <sheet name="Timeline" sheetId="2" r:id="rId1"/>
    <sheet name="Formula Breakdown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17" i="2" a="1"/>
  <c r="C17" i="2" s="1"/>
  <c r="C44" i="3"/>
  <c r="C45" i="3"/>
  <c r="C46" i="3"/>
  <c r="C47" i="3"/>
  <c r="C48" i="3"/>
  <c r="C43" i="3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/>
  <c r="C15" i="2" a="1"/>
  <c r="C15" i="2" s="1"/>
  <c r="C16" i="2" a="1"/>
  <c r="C16" i="2" s="1"/>
  <c r="C18" i="2" a="1"/>
  <c r="C18" i="2" s="1"/>
  <c r="B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<sst xmlns="http://schemas.openxmlformats.org/spreadsheetml/2006/main" count="92" uniqueCount="74">
  <si>
    <t>Timeline Chart</t>
  </si>
  <si>
    <t>Date</t>
  </si>
  <si>
    <t>Milestone</t>
  </si>
  <si>
    <t>Level</t>
  </si>
  <si>
    <t>Kickoff &amp; Budget Approval</t>
  </si>
  <si>
    <t>Vendor Shortlist</t>
  </si>
  <si>
    <t>Requirements Freeze</t>
  </si>
  <si>
    <t>Prototype v1</t>
  </si>
  <si>
    <t>Security Review</t>
  </si>
  <si>
    <t>Contract Signed</t>
  </si>
  <si>
    <t>Pilot Launch</t>
  </si>
  <si>
    <t>Midyear Steering</t>
  </si>
  <si>
    <t>User Training</t>
  </si>
  <si>
    <t>Data Migration</t>
  </si>
  <si>
    <t>UAT Complete</t>
  </si>
  <si>
    <t>Marketing Prep</t>
  </si>
  <si>
    <t>Go-Live</t>
  </si>
  <si>
    <t>Post-Launch Review</t>
  </si>
  <si>
    <t>Year-end Wrap-up</t>
  </si>
  <si>
    <t>FORMULA BREAKDOWN</t>
  </si>
  <si>
    <t>This formula:</t>
  </si>
  <si>
    <r>
      <rPr>
        <sz val="14"/>
        <color rgb="FFEC4C4C"/>
        <rFont val="Aptos Narrow"/>
        <family val="2"/>
      </rPr>
      <t xml:space="preserve">• </t>
    </r>
    <r>
      <rPr>
        <sz val="14"/>
        <color theme="1"/>
        <rFont val="Aptos Narrow"/>
        <family val="2"/>
      </rPr>
      <t xml:space="preserve"> Counts the table rows.</t>
    </r>
  </si>
  <si>
    <r>
      <rPr>
        <sz val="14"/>
        <color rgb="FFEC4C4C"/>
        <rFont val="Aptos Narrow"/>
        <family val="2"/>
      </rPr>
      <t>•</t>
    </r>
    <r>
      <rPr>
        <sz val="14"/>
        <color theme="1"/>
        <rFont val="Aptos Narrow"/>
        <family val="2"/>
      </rPr>
      <t xml:space="preserve">  Repeats a 4-step pattern.</t>
    </r>
  </si>
  <si>
    <r>
      <rPr>
        <sz val="14"/>
        <color rgb="FFEC4C4C"/>
        <rFont val="Aptos Narrow"/>
        <family val="2"/>
      </rPr>
      <t>•</t>
    </r>
    <r>
      <rPr>
        <sz val="14"/>
        <color theme="1"/>
        <rFont val="Aptos Narrow"/>
        <family val="2"/>
      </rPr>
      <t xml:space="preserve">  Assigns each step a height.</t>
    </r>
  </si>
  <si>
    <r>
      <rPr>
        <sz val="14"/>
        <color rgb="FFEC4C4C"/>
        <rFont val="Aptos Narrow"/>
        <family val="2"/>
      </rPr>
      <t xml:space="preserve">•  </t>
    </r>
    <r>
      <rPr>
        <sz val="14"/>
        <color theme="1"/>
        <rFont val="Aptos Narrow"/>
        <family val="2"/>
      </rPr>
      <t>Keeps milestone labels from overlapping on the chart.</t>
    </r>
  </si>
  <si>
    <t>Let's break down what is happening here.</t>
  </si>
  <si>
    <t>1. Create a Row Counter</t>
  </si>
  <si>
    <t>ROW() - ROW(TableTime[#Headers]) - 1</t>
  </si>
  <si>
    <r>
      <rPr>
        <sz val="14"/>
        <color rgb="FFEC4C4C"/>
        <rFont val="Aptos Narrow"/>
        <family val="2"/>
      </rPr>
      <t>•</t>
    </r>
    <r>
      <rPr>
        <sz val="14"/>
        <color theme="1"/>
        <rFont val="Aptos Narrow"/>
        <family val="2"/>
      </rPr>
      <t xml:space="preserve"> </t>
    </r>
    <r>
      <rPr>
        <b/>
        <sz val="14"/>
        <color theme="1"/>
        <rFont val="Aptos Narrow"/>
        <family val="2"/>
      </rPr>
      <t>ROW()</t>
    </r>
    <r>
      <rPr>
        <sz val="14"/>
        <color theme="1"/>
        <rFont val="Aptos Narrow"/>
        <family val="2"/>
      </rPr>
      <t xml:space="preserve"> gives the current row number in Excel (for example, row 5 → value 5).</t>
    </r>
  </si>
  <si>
    <r>
      <rPr>
        <sz val="14"/>
        <color rgb="FFEC4C4C"/>
        <rFont val="Aptos Narrow"/>
        <family val="2"/>
      </rPr>
      <t>•</t>
    </r>
    <r>
      <rPr>
        <sz val="14"/>
        <color theme="1"/>
        <rFont val="Aptos Narrow"/>
        <family val="2"/>
      </rPr>
      <t xml:space="preserve"> </t>
    </r>
    <r>
      <rPr>
        <b/>
        <sz val="14"/>
        <color theme="1"/>
        <rFont val="Aptos Narrow"/>
        <family val="2"/>
      </rPr>
      <t>ROW(TableTime[#Headers])</t>
    </r>
    <r>
      <rPr>
        <sz val="14"/>
        <color theme="1"/>
        <rFont val="Aptos Narrow"/>
        <family val="2"/>
      </rPr>
      <t xml:space="preserve"> gives the row number of the header row in your table.</t>
    </r>
  </si>
  <si>
    <t>When you subtract the header’s row number, you find how far down the data row is from the header.</t>
  </si>
  <si>
    <r>
      <t xml:space="preserve">Subtract one more so the first data row starts at </t>
    </r>
    <r>
      <rPr>
        <b/>
        <sz val="14"/>
        <color theme="1"/>
        <rFont val="Aptos Narrow"/>
        <family val="2"/>
      </rPr>
      <t>0</t>
    </r>
    <r>
      <rPr>
        <sz val="14"/>
        <color theme="1"/>
        <rFont val="Aptos Narrow"/>
        <family val="2"/>
      </rPr>
      <t xml:space="preserve"> instead of 1.</t>
    </r>
  </si>
  <si>
    <t>Example:</t>
  </si>
  <si>
    <t>Row number</t>
  </si>
  <si>
    <t>Result of ROW() - ROW(TableTime[#Headers]) - 1</t>
  </si>
  <si>
    <r>
      <t xml:space="preserve">4 </t>
    </r>
    <r>
      <rPr>
        <i/>
        <sz val="14"/>
        <color theme="1"/>
        <rFont val="Aptos Narrow"/>
        <family val="2"/>
      </rPr>
      <t>(first data row)</t>
    </r>
  </si>
  <si>
    <r>
      <t>4-3-1=</t>
    </r>
    <r>
      <rPr>
        <b/>
        <sz val="14"/>
        <color theme="1"/>
        <rFont val="Aptos Narrow"/>
        <family val="2"/>
      </rPr>
      <t>0</t>
    </r>
  </si>
  <si>
    <r>
      <t>5-3-1=</t>
    </r>
    <r>
      <rPr>
        <b/>
        <sz val="14"/>
        <color theme="1"/>
        <rFont val="Aptos Narrow"/>
        <family val="2"/>
      </rPr>
      <t>1</t>
    </r>
  </si>
  <si>
    <r>
      <t>6-3-1=</t>
    </r>
    <r>
      <rPr>
        <b/>
        <sz val="14"/>
        <color theme="1"/>
        <rFont val="Aptos Narrow"/>
        <family val="2"/>
      </rPr>
      <t>2</t>
    </r>
  </si>
  <si>
    <r>
      <t>7-3-1=</t>
    </r>
    <r>
      <rPr>
        <b/>
        <sz val="14"/>
        <color theme="1"/>
        <rFont val="Aptos Narrow"/>
        <family val="2"/>
      </rPr>
      <t>3</t>
    </r>
  </si>
  <si>
    <t>This creates a running counter: 0, 1, 2, 3, 4, 5, …</t>
  </si>
  <si>
    <t>2. Make the Pattern Repeat</t>
  </si>
  <si>
    <t>MOD(..., 4)</t>
  </si>
  <si>
    <r>
      <rPr>
        <b/>
        <sz val="14"/>
        <color theme="1"/>
        <rFont val="Aptos Narrow"/>
        <family val="2"/>
      </rPr>
      <t>MOD</t>
    </r>
    <r>
      <rPr>
        <sz val="14"/>
        <color theme="1"/>
        <rFont val="Aptos Narrow"/>
        <family val="2"/>
      </rPr>
      <t xml:space="preserve"> returns the remainder after division.</t>
    </r>
  </si>
  <si>
    <r>
      <t xml:space="preserve">In this case, each row index is divided by </t>
    </r>
    <r>
      <rPr>
        <b/>
        <sz val="14"/>
        <color theme="1"/>
        <rFont val="Aptos Narrow"/>
        <family val="2"/>
      </rPr>
      <t>4</t>
    </r>
    <r>
      <rPr>
        <sz val="14"/>
        <color theme="1"/>
        <rFont val="Aptos Narrow"/>
        <family val="2"/>
      </rPr>
      <t>, and we keep the remainder.</t>
    </r>
  </si>
  <si>
    <t>This makes the counter cycle through 4 positions again and again.</t>
  </si>
  <si>
    <t>Row index</t>
  </si>
  <si>
    <t>MOD(..., 4) result</t>
  </si>
  <si>
    <t>Now we have a repeating pattern:</t>
  </si>
  <si>
    <t>0, 1, 2, 3, 0, 1, 2, 3, …</t>
  </si>
  <si>
    <t>3. Adjust the Starting Number</t>
  </si>
  <si>
    <t>...+1</t>
  </si>
  <si>
    <r>
      <rPr>
        <b/>
        <sz val="14"/>
        <color theme="1"/>
        <rFont val="Aptos Narrow"/>
        <family val="2"/>
      </rPr>
      <t xml:space="preserve">CHOOSE </t>
    </r>
    <r>
      <rPr>
        <sz val="14"/>
        <color theme="1"/>
        <rFont val="Aptos Narrow"/>
        <family val="2"/>
      </rPr>
      <t>starts counting at 1, not 0.</t>
    </r>
  </si>
  <si>
    <t>So we add 1 to shift the pattern to:</t>
  </si>
  <si>
    <t>1, 2, 3, 4, 1, 2, 3, 4, …</t>
  </si>
  <si>
    <t>4. Assign Each Level Value</t>
  </si>
  <si>
    <r>
      <t>CHOOSE(</t>
    </r>
    <r>
      <rPr>
        <i/>
        <sz val="16"/>
        <color theme="1"/>
        <rFont val="Aptos Narrow"/>
        <family val="2"/>
      </rPr>
      <t>index</t>
    </r>
    <r>
      <rPr>
        <sz val="16"/>
        <color theme="1"/>
        <rFont val="Aptos Narrow"/>
        <family val="2"/>
      </rPr>
      <t>, 40, -10, 12, -30)</t>
    </r>
  </si>
  <si>
    <r>
      <rPr>
        <b/>
        <sz val="14"/>
        <color theme="1"/>
        <rFont val="Aptos Narrow"/>
        <family val="2"/>
      </rPr>
      <t>CHOOSE</t>
    </r>
    <r>
      <rPr>
        <sz val="14"/>
        <color theme="1"/>
        <rFont val="Aptos Narrow"/>
        <family val="2"/>
      </rPr>
      <t xml:space="preserve"> picks one value from a list based on the index number.</t>
    </r>
  </si>
  <si>
    <t>Index</t>
  </si>
  <si>
    <t>Result</t>
  </si>
  <si>
    <t>As the index repeats, the formula outputs:</t>
  </si>
  <si>
    <t>40, -10, 12, -30, 40, -10, 12, -30, …</t>
  </si>
  <si>
    <t>How It Looks on the Chart</t>
  </si>
  <si>
    <r>
      <t xml:space="preserve">Each milestone’s </t>
    </r>
    <r>
      <rPr>
        <b/>
        <sz val="14"/>
        <color theme="1"/>
        <rFont val="Aptos Narrow"/>
        <family val="2"/>
      </rPr>
      <t>Date</t>
    </r>
    <r>
      <rPr>
        <sz val="14"/>
        <color theme="1"/>
        <rFont val="Aptos Narrow"/>
        <family val="2"/>
      </rPr>
      <t xml:space="preserve"> is used on the (horizontal) X-axis.</t>
    </r>
  </si>
  <si>
    <r>
      <t xml:space="preserve">This formula provides the </t>
    </r>
    <r>
      <rPr>
        <b/>
        <sz val="14"/>
        <color theme="1"/>
        <rFont val="Aptos Narrow"/>
        <family val="2"/>
      </rPr>
      <t>Level</t>
    </r>
    <r>
      <rPr>
        <sz val="14"/>
        <color theme="1"/>
        <rFont val="Aptos Narrow"/>
        <family val="2"/>
      </rPr>
      <t xml:space="preserve">  to be used on the (vertical) Y-axis.</t>
    </r>
  </si>
  <si>
    <t>Positive values place the label above the line, negative values place it below.</t>
  </si>
  <si>
    <t>By alternating these levels, the chart looks clean and easy to read.</t>
  </si>
  <si>
    <t>Customize It</t>
  </si>
  <si>
    <t>You can change:</t>
  </si>
  <si>
    <r>
      <rPr>
        <sz val="14"/>
        <color rgb="FFEC4C4C"/>
        <rFont val="Aptos Narrow"/>
        <family val="2"/>
      </rPr>
      <t>•</t>
    </r>
    <r>
      <rPr>
        <sz val="14"/>
        <color theme="1"/>
        <rFont val="Aptos Narrow"/>
        <family val="2"/>
      </rPr>
      <t xml:space="preserve"> the </t>
    </r>
    <r>
      <rPr>
        <b/>
        <sz val="14"/>
        <color theme="1"/>
        <rFont val="Aptos Narrow"/>
        <family val="2"/>
      </rPr>
      <t>number of levels</t>
    </r>
    <r>
      <rPr>
        <sz val="14"/>
        <color theme="1"/>
        <rFont val="Aptos Narrow"/>
        <family val="2"/>
      </rPr>
      <t xml:space="preserve"> (by changing the 4 in the </t>
    </r>
    <r>
      <rPr>
        <b/>
        <sz val="14"/>
        <color theme="1"/>
        <rFont val="Aptos Narrow"/>
        <family val="2"/>
      </rPr>
      <t>MOD</t>
    </r>
    <r>
      <rPr>
        <sz val="14"/>
        <color theme="1"/>
        <rFont val="Aptos Narrow"/>
        <family val="2"/>
      </rPr>
      <t xml:space="preserve"> function)</t>
    </r>
  </si>
  <si>
    <r>
      <rPr>
        <sz val="14"/>
        <color rgb="FFEC4C4C"/>
        <rFont val="Aptos Narrow"/>
        <family val="2"/>
      </rPr>
      <t>•</t>
    </r>
    <r>
      <rPr>
        <sz val="14"/>
        <color theme="1"/>
        <rFont val="Aptos Narrow"/>
        <family val="2"/>
      </rPr>
      <t xml:space="preserve"> the </t>
    </r>
    <r>
      <rPr>
        <b/>
        <sz val="14"/>
        <color theme="1"/>
        <rFont val="Aptos Narrow"/>
        <family val="2"/>
      </rPr>
      <t>spacing values</t>
    </r>
    <r>
      <rPr>
        <sz val="14"/>
        <color theme="1"/>
        <rFont val="Aptos Narrow"/>
        <family val="2"/>
      </rPr>
      <t xml:space="preserve"> (inside </t>
    </r>
    <r>
      <rPr>
        <b/>
        <sz val="14"/>
        <color theme="1"/>
        <rFont val="Aptos Narrow"/>
        <family val="2"/>
      </rPr>
      <t>CHOOSE</t>
    </r>
    <r>
      <rPr>
        <sz val="14"/>
        <color theme="1"/>
        <rFont val="Aptos Narrow"/>
        <family val="2"/>
      </rPr>
      <t>)</t>
    </r>
  </si>
  <si>
    <t>For example,</t>
  </si>
  <si>
    <t>=CHOOSE(MOD(...,3)+1, 50, -20, 10)</t>
  </si>
  <si>
    <t>would create a 3-level pattern instead of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</si>
</sst>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;@"/>
  </numFmts>
  <fonts count="17"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Schriftart für Textkörper"/>
      <family val="2"/>
    </font>
    <font>
      <u/>
      <sz val="11"/>
      <color theme="10"/>
      <name val="Calibri"/>
      <family val="2"/>
      <scheme val="minor"/>
    </font>
    <font>
      <b/>
      <sz val="14"/>
      <color rgb="FF1F1F1F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ptos Narrow"/>
      <family val="2"/>
    </font>
    <font>
      <b/>
      <sz val="14"/>
      <color theme="1"/>
      <name val="Aptos Narrow"/>
      <family val="2"/>
    </font>
    <font>
      <sz val="16"/>
      <color theme="1"/>
      <name val="Aptos Narrow"/>
      <family val="2"/>
    </font>
    <font>
      <sz val="14"/>
      <color rgb="FFEC4C4C"/>
      <name val="Aptos Narrow"/>
      <family val="2"/>
    </font>
    <font>
      <b/>
      <sz val="16"/>
      <color theme="0"/>
      <name val="Aptos Narrow"/>
      <family val="2"/>
    </font>
    <font>
      <b/>
      <sz val="16"/>
      <color rgb="FFEC4C4C"/>
      <name val="Aptos Narrow"/>
      <family val="2"/>
    </font>
    <font>
      <b/>
      <sz val="14"/>
      <color theme="0"/>
      <name val="Aptos Narrow"/>
      <family val="2"/>
    </font>
    <font>
      <b/>
      <sz val="14"/>
      <color rgb="FFEC4C4C"/>
      <name val="Aptos Narrow"/>
      <family val="2"/>
    </font>
    <font>
      <i/>
      <sz val="14"/>
      <color theme="1"/>
      <name val="Aptos Narrow"/>
      <family val="2"/>
    </font>
    <font>
      <i/>
      <sz val="16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C4C4C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2"/>
      </top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left" indent="1"/>
    </xf>
    <xf numFmtId="0" fontId="0" fillId="0" borderId="1" xfId="0" applyBorder="1"/>
    <xf numFmtId="0" fontId="5" fillId="2" borderId="0" xfId="0" applyFont="1" applyFill="1" applyAlignment="1">
      <alignment horizontal="center"/>
    </xf>
    <xf numFmtId="0" fontId="6" fillId="0" borderId="0" xfId="0" applyFont="1"/>
    <xf numFmtId="164" fontId="6" fillId="0" borderId="2" xfId="0" applyNumberFormat="1" applyFont="1" applyBorder="1"/>
    <xf numFmtId="0" fontId="6" fillId="0" borderId="2" xfId="0" applyFont="1" applyBorder="1"/>
    <xf numFmtId="164" fontId="6" fillId="0" borderId="3" xfId="0" applyNumberFormat="1" applyFont="1" applyBorder="1"/>
    <xf numFmtId="0" fontId="6" fillId="0" borderId="3" xfId="0" applyFont="1" applyBorder="1"/>
    <xf numFmtId="0" fontId="11" fillId="3" borderId="0" xfId="0" applyFont="1" applyFill="1"/>
    <xf numFmtId="0" fontId="9" fillId="0" borderId="5" xfId="0" applyFont="1" applyBorder="1" applyAlignment="1">
      <alignment vertical="center"/>
    </xf>
    <xf numFmtId="0" fontId="7" fillId="0" borderId="0" xfId="0" applyFont="1"/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/>
    <xf numFmtId="0" fontId="7" fillId="0" borderId="6" xfId="0" applyFont="1" applyBorder="1" applyAlignment="1">
      <alignment vertical="center"/>
    </xf>
    <xf numFmtId="0" fontId="7" fillId="0" borderId="6" xfId="0" applyFont="1" applyBorder="1"/>
    <xf numFmtId="0" fontId="7" fillId="0" borderId="7" xfId="0" applyFont="1" applyBorder="1"/>
    <xf numFmtId="0" fontId="7" fillId="0" borderId="0" xfId="0" applyFont="1" applyAlignment="1">
      <alignment vertical="center"/>
    </xf>
    <xf numFmtId="0" fontId="13" fillId="3" borderId="0" xfId="0" applyFont="1" applyFill="1"/>
    <xf numFmtId="0" fontId="7" fillId="3" borderId="0" xfId="0" applyFont="1" applyFill="1"/>
    <xf numFmtId="0" fontId="14" fillId="0" borderId="0" xfId="0" applyFont="1"/>
    <xf numFmtId="0" fontId="7" fillId="0" borderId="0" xfId="0" applyFont="1" applyAlignment="1">
      <alignment horizontal="left" vertical="center" indent="1"/>
    </xf>
    <xf numFmtId="0" fontId="8" fillId="0" borderId="0" xfId="0" applyFont="1"/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7" fillId="0" borderId="8" xfId="0" applyFont="1" applyBorder="1"/>
    <xf numFmtId="0" fontId="7" fillId="0" borderId="9" xfId="0" applyFont="1" applyBorder="1" applyAlignment="1">
      <alignment horizontal="left"/>
    </xf>
    <xf numFmtId="0" fontId="7" fillId="0" borderId="9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7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 vertical="center" wrapText="1"/>
    </xf>
    <xf numFmtId="0" fontId="9" fillId="0" borderId="5" xfId="0" quotePrefix="1" applyFont="1" applyBorder="1" applyAlignment="1">
      <alignment vertical="center"/>
    </xf>
    <xf numFmtId="0" fontId="7" fillId="4" borderId="0" xfId="0" applyFont="1" applyFill="1"/>
    <xf numFmtId="164" fontId="6" fillId="0" borderId="10" xfId="0" applyNumberFormat="1" applyFont="1" applyBorder="1"/>
    <xf numFmtId="0" fontId="6" fillId="0" borderId="10" xfId="0" applyFont="1" applyBorder="1"/>
  </cellXfs>
  <cellStyles count="4">
    <cellStyle name="Hyperlink 2" xfId="3" xr:uid="{83615C69-9EE4-4D01-8DE2-5EF79118DF3A}"/>
    <cellStyle name="Hyperlink 3" xfId="2" xr:uid="{95663336-1508-4055-9726-666AC5774A08}"/>
    <cellStyle name="Normal" xfId="0" builtinId="0"/>
    <cellStyle name="Normal 2" xfId="1" xr:uid="{D9CF3416-EBFC-400E-9E1A-440C2722816B}"/>
  </cellStyles>
  <dxfs count="9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/>
        <top style="thin">
          <color theme="2"/>
        </top>
        <bottom style="thin">
          <color theme="2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409]d\-mmm;@"/>
      <border diagonalUp="0" diagonalDown="0">
        <left/>
        <right/>
        <top style="thin">
          <color theme="2"/>
        </top>
        <bottom style="thin">
          <color theme="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Calibri"/>
        <family val="2"/>
        <scheme val="minor"/>
      </font>
      <fill>
        <patternFill patternType="solid">
          <fgColor indexed="64"/>
          <bgColor rgb="FFF2F2F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/>
        <top style="thin">
          <color theme="2"/>
        </top>
        <bottom style="thin">
          <color theme="2"/>
        </bottom>
        <vertical/>
        <horizontal style="thin">
          <color theme="2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409]d\-mmm;@"/>
      <border diagonalUp="0" diagonalDown="0">
        <left/>
        <right/>
        <top style="thin">
          <color theme="2"/>
        </top>
        <bottom style="thin">
          <color theme="2"/>
        </bottom>
        <vertical/>
        <horizontal style="thin">
          <color theme="2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Calibri"/>
        <family val="2"/>
        <scheme val="minor"/>
      </font>
      <fill>
        <patternFill patternType="solid">
          <fgColor indexed="64"/>
          <bgColor rgb="FFF2F2F2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ABF147BC-6CD9-4BB9-8B1C-C8CFBF532838}"/>
  </tableStyles>
  <colors>
    <mruColors>
      <color rgb="FFEC4C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Timeline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888167043325833E-2"/>
          <c:y val="0.17171296296296296"/>
          <c:w val="0.86949993679156701"/>
          <c:h val="0.77736111111111106"/>
        </c:manualLayout>
      </c:layout>
      <c:lineChart>
        <c:grouping val="standard"/>
        <c:varyColors val="0"/>
        <c:ser>
          <c:idx val="0"/>
          <c:order val="0"/>
          <c:tx>
            <c:strRef>
              <c:f>Timeline!$C$3</c:f>
              <c:strCache>
                <c:ptCount val="1"/>
                <c:pt idx="0">
                  <c:v>Level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diamond"/>
              <c:size val="8"/>
              <c:spPr>
                <a:solidFill>
                  <a:schemeClr val="accent2">
                    <a:lumMod val="75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405-4AD7-9A11-289FE99C895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2CAA313-43B5-458C-8C65-E0CD02D26F2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8D06AC0C-963C-4144-B66E-9FC865AA3AE5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405-4AD7-9A11-289FE99C895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AFB26DE-480A-454E-BAB5-E1BEFE2CB5E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65CCFFD4-755D-4749-B3B5-6D0D69F02E6B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405-4AD7-9A11-289FE99C895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6045C9-6A4E-4E16-B4F1-49734F1A396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2C76B58-E588-4656-A545-28291E6D45B5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405-4AD7-9A11-289FE99C895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488247B-460A-446D-987D-BF3E4119DD06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BA10D232-73C7-4E19-926D-D095248202EE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405-4AD7-9A11-289FE99C895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59FE7DB-1AD6-40AB-9636-E1BA4E99877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448E60F-5724-4F33-8040-459A293C0773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405-4AD7-9A11-289FE99C895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ADEF0AD-7150-463B-AA7C-FAE654E9B3A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0C6EAF8-C593-436E-9181-8188C2471976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405-4AD7-9A11-289FE99C895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098FB00-E881-4961-BE68-E245CFC3EC7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BC531E4-DCF6-4DB2-A651-F08F7E44F99E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405-4AD7-9A11-289FE99C895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99DCBDC-47C5-42D3-8F6B-7DE06E26513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240891E-B75C-425F-8CAC-83C72EB992A8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405-4AD7-9A11-289FE99C895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F548938-5641-45A5-BD2B-AFDB6C6D356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ACC435E-8297-439B-B684-094445451D8F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405-4AD7-9A11-289FE99C895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A059F92-C859-4652-B0F9-02F74985C46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02F1866-0965-4A43-BC5E-13A2C39C25C7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405-4AD7-9A11-289FE99C895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363ABAB-BF12-46F9-A3F2-8E7ADCA82E5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32BCD25-3BA7-4F9E-A641-36C8E6A82C6C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405-4AD7-9A11-289FE99C895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B127817-C9D0-4649-A1A9-B91614B2777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D459A03-12D9-4E32-AA5E-F539476EB099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405-4AD7-9A11-289FE99C895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036F230-60DC-4239-B378-CDBFDAC561B6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2B206C8-2F01-476F-A660-83E6F48F4DDE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405-4AD7-9A11-289FE99C895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0ADAAB8-E4EF-44D7-899A-20EE3F844D5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9493468-CA57-4832-BDED-0FFFD3674872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405-4AD7-9A11-289FE99C895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3253478-A409-4245-8550-5A5A6349F636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9EEFA53-6A63-40A0-989A-EACF7A7B0E72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405-4AD7-9A11-289FE99C89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numRef>
              <c:f>Timeline!$A$4:$A$18</c:f>
              <c:numCache>
                <c:formatCode>[$-409]d\-mmm;@</c:formatCode>
                <c:ptCount val="15"/>
                <c:pt idx="0">
                  <c:v>46030</c:v>
                </c:pt>
                <c:pt idx="1">
                  <c:v>46048</c:v>
                </c:pt>
                <c:pt idx="2">
                  <c:v>46059</c:v>
                </c:pt>
                <c:pt idx="3">
                  <c:v>46096</c:v>
                </c:pt>
                <c:pt idx="4">
                  <c:v>46124</c:v>
                </c:pt>
                <c:pt idx="5">
                  <c:v>46140</c:v>
                </c:pt>
                <c:pt idx="6">
                  <c:v>46154</c:v>
                </c:pt>
                <c:pt idx="7">
                  <c:v>46190</c:v>
                </c:pt>
                <c:pt idx="8">
                  <c:v>46210</c:v>
                </c:pt>
                <c:pt idx="9">
                  <c:v>46267</c:v>
                </c:pt>
                <c:pt idx="10">
                  <c:v>46293</c:v>
                </c:pt>
                <c:pt idx="11">
                  <c:v>46315</c:v>
                </c:pt>
                <c:pt idx="12">
                  <c:v>46337</c:v>
                </c:pt>
                <c:pt idx="13">
                  <c:v>46357</c:v>
                </c:pt>
                <c:pt idx="14">
                  <c:v>46367</c:v>
                </c:pt>
              </c:numCache>
            </c:numRef>
          </c:cat>
          <c:val>
            <c:numRef>
              <c:f>Timeline!$C$4:$C$18</c:f>
              <c:numCache>
                <c:formatCode>General</c:formatCode>
                <c:ptCount val="15"/>
                <c:pt idx="0">
                  <c:v>40</c:v>
                </c:pt>
                <c:pt idx="1">
                  <c:v>-10</c:v>
                </c:pt>
                <c:pt idx="2">
                  <c:v>12</c:v>
                </c:pt>
                <c:pt idx="3">
                  <c:v>-30</c:v>
                </c:pt>
                <c:pt idx="4">
                  <c:v>40</c:v>
                </c:pt>
                <c:pt idx="5">
                  <c:v>-10</c:v>
                </c:pt>
                <c:pt idx="6">
                  <c:v>12</c:v>
                </c:pt>
                <c:pt idx="7">
                  <c:v>-30</c:v>
                </c:pt>
                <c:pt idx="8">
                  <c:v>40</c:v>
                </c:pt>
                <c:pt idx="9">
                  <c:v>-10</c:v>
                </c:pt>
                <c:pt idx="10">
                  <c:v>12</c:v>
                </c:pt>
                <c:pt idx="11">
                  <c:v>-30</c:v>
                </c:pt>
                <c:pt idx="12">
                  <c:v>40</c:v>
                </c:pt>
                <c:pt idx="13">
                  <c:v>-10</c:v>
                </c:pt>
                <c:pt idx="14">
                  <c:v>12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Timeline!$B$4:$B$18</c15:f>
                <c15:dlblRangeCache>
                  <c:ptCount val="15"/>
                  <c:pt idx="0">
                    <c:v>Kickoff &amp; Budget Approval</c:v>
                  </c:pt>
                  <c:pt idx="1">
                    <c:v>Vendor Shortlist</c:v>
                  </c:pt>
                  <c:pt idx="2">
                    <c:v>Requirements Freeze</c:v>
                  </c:pt>
                  <c:pt idx="3">
                    <c:v>Prototype v1</c:v>
                  </c:pt>
                  <c:pt idx="4">
                    <c:v>Security Review</c:v>
                  </c:pt>
                  <c:pt idx="5">
                    <c:v>Contract Signed</c:v>
                  </c:pt>
                  <c:pt idx="6">
                    <c:v>Pilot Launch</c:v>
                  </c:pt>
                  <c:pt idx="7">
                    <c:v>Midyear Steering</c:v>
                  </c:pt>
                  <c:pt idx="8">
                    <c:v>User Training</c:v>
                  </c:pt>
                  <c:pt idx="9">
                    <c:v>Data Migration</c:v>
                  </c:pt>
                  <c:pt idx="10">
                    <c:v>UAT Complete</c:v>
                  </c:pt>
                  <c:pt idx="11">
                    <c:v>Marketing Prep</c:v>
                  </c:pt>
                  <c:pt idx="12">
                    <c:v>Go-Live</c:v>
                  </c:pt>
                  <c:pt idx="13">
                    <c:v>Post-Launch Review</c:v>
                  </c:pt>
                  <c:pt idx="14">
                    <c:v>Year-end Wrap-up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405-4AD7-9A11-289FE99C8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823023"/>
        <c:axId val="249826383"/>
      </c:lineChart>
      <c:dateAx>
        <c:axId val="249823023"/>
        <c:scaling>
          <c:orientation val="minMax"/>
          <c:max val="46387"/>
          <c:min val="46023"/>
        </c:scaling>
        <c:delete val="0"/>
        <c:axPos val="b"/>
        <c:numFmt formatCode="[$-409]d\-mmm;@" sourceLinked="1"/>
        <c:majorTickMark val="none"/>
        <c:minorTickMark val="none"/>
        <c:tickLblPos val="none"/>
        <c:spPr>
          <a:noFill/>
          <a:ln w="5080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oval"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26383"/>
        <c:crosses val="autoZero"/>
        <c:auto val="1"/>
        <c:lblOffset val="100"/>
        <c:baseTimeUnit val="days"/>
      </c:dateAx>
      <c:valAx>
        <c:axId val="2498263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982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Timeline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888167043325833E-2"/>
          <c:y val="0.17171296296296296"/>
          <c:w val="0.92127986614686286"/>
          <c:h val="0.71717592592592605"/>
        </c:manualLayout>
      </c:layout>
      <c:lineChart>
        <c:grouping val="standard"/>
        <c:varyColors val="0"/>
        <c:ser>
          <c:idx val="0"/>
          <c:order val="0"/>
          <c:tx>
            <c:strRef>
              <c:f>Timeline!$C$23</c:f>
              <c:strCache>
                <c:ptCount val="1"/>
                <c:pt idx="0">
                  <c:v>Level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1C4-441A-AC84-EB64EE6E58A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D7061C3-C583-47A5-84AC-91C39157EDF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C515D28-662E-4E95-9205-0F651B46FE67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1C4-441A-AC84-EB64EE6E58A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C693C37-06E2-4293-8610-4DED3603605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EC886F5-5457-4AA5-A410-6026E69319CB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1C4-441A-AC84-EB64EE6E58A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15D807E-D16A-4B50-853D-1ED261B6E44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F8BA6ED-034D-48C0-9E3A-CCF5C1BFFA05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1C4-441A-AC84-EB64EE6E58A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F85572A-20FA-4258-A262-F19C7B7215B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2DEDE64-CFC8-4C30-B976-F85A7A87B174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1C4-441A-AC84-EB64EE6E58A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5FCC8C9-1DA9-4786-87D0-8594D2DAC7A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3D45A42-816C-4DD5-89F5-B57012736304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1C4-441A-AC84-EB64EE6E58A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7CBABC8-8E24-41E3-A718-28B49CA9AAD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DBD83BD-B936-485F-890C-E7B6D1928645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1C4-441A-AC84-EB64EE6E58A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B9E8010-1676-4DFA-9146-7A82F8AB600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6CFB78C-AD37-4EC0-91F1-F0F49FA472C6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1C4-441A-AC84-EB64EE6E58A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E86D26B-649F-4E7D-A92E-F6BC29B21DE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CDEA3EB-8B6E-4180-B90C-EE6B272E0BB3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1C4-441A-AC84-EB64EE6E58A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E09BF14-8056-4975-800A-DAA251FED32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14A3A5E-780D-4B5C-92C7-0ADA5F493F8A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1C4-441A-AC84-EB64EE6E58A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AA34A29-839B-414F-B72A-AD324CF92ED6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D22B0B9-26BF-40DE-B720-EB99A1B0B391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81C4-441A-AC84-EB64EE6E58A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8B0CF33-7C04-47A9-88C7-6918939CA78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00A0706-0937-47CF-B81B-141DBA420658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1C4-441A-AC84-EB64EE6E58A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227E430-DA8B-4579-99B9-9F9EAF239CB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F9A3E10-DF11-4BE1-ABEE-972CFDCCA8C5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81C4-441A-AC84-EB64EE6E58A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EB61C8A-ABFC-4970-8E95-99E5A8B58D6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0AA2456-C794-41AA-BFFD-D38F906E3036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1C4-441A-AC84-EB64EE6E58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12BBDCF-B25C-4D65-91E8-BFA9DFC8CEF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3E6D185-B8B5-4F00-BFB4-E607C0A61B24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81C4-441A-AC84-EB64EE6E58A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4DD9839-8B9F-4574-A3E7-84CF360D706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65E7B7EC-1712-4ABF-9BF4-BD4BB7F16142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81C4-441A-AC84-EB64EE6E58A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1C4-441A-AC84-EB64EE6E58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 algn="l"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numRef>
              <c:f>Timeline!$A$24:$A$40</c:f>
              <c:numCache>
                <c:formatCode>[$-409]d\-mmm;@</c:formatCode>
                <c:ptCount val="17"/>
                <c:pt idx="0">
                  <c:v>46023</c:v>
                </c:pt>
                <c:pt idx="1">
                  <c:v>46030</c:v>
                </c:pt>
                <c:pt idx="2">
                  <c:v>46048</c:v>
                </c:pt>
                <c:pt idx="3">
                  <c:v>46059</c:v>
                </c:pt>
                <c:pt idx="4">
                  <c:v>46096</c:v>
                </c:pt>
                <c:pt idx="5">
                  <c:v>46124</c:v>
                </c:pt>
                <c:pt idx="6">
                  <c:v>46140</c:v>
                </c:pt>
                <c:pt idx="7">
                  <c:v>46154</c:v>
                </c:pt>
                <c:pt idx="8">
                  <c:v>46190</c:v>
                </c:pt>
                <c:pt idx="9">
                  <c:v>46210</c:v>
                </c:pt>
                <c:pt idx="10">
                  <c:v>46267</c:v>
                </c:pt>
                <c:pt idx="11">
                  <c:v>46293</c:v>
                </c:pt>
                <c:pt idx="12">
                  <c:v>46315</c:v>
                </c:pt>
                <c:pt idx="13">
                  <c:v>46337</c:v>
                </c:pt>
                <c:pt idx="14">
                  <c:v>46357</c:v>
                </c:pt>
                <c:pt idx="15">
                  <c:v>46367</c:v>
                </c:pt>
                <c:pt idx="16">
                  <c:v>46387</c:v>
                </c:pt>
              </c:numCache>
            </c:numRef>
          </c:cat>
          <c:val>
            <c:numRef>
              <c:f>Timeline!$C$24:$C$40</c:f>
              <c:numCache>
                <c:formatCode>General</c:formatCode>
                <c:ptCount val="17"/>
                <c:pt idx="1">
                  <c:v>40</c:v>
                </c:pt>
                <c:pt idx="2">
                  <c:v>12</c:v>
                </c:pt>
                <c:pt idx="3">
                  <c:v>-30</c:v>
                </c:pt>
                <c:pt idx="4">
                  <c:v>40</c:v>
                </c:pt>
                <c:pt idx="5">
                  <c:v>-10</c:v>
                </c:pt>
                <c:pt idx="6">
                  <c:v>12</c:v>
                </c:pt>
                <c:pt idx="7">
                  <c:v>-30</c:v>
                </c:pt>
                <c:pt idx="8">
                  <c:v>40</c:v>
                </c:pt>
                <c:pt idx="9">
                  <c:v>-10</c:v>
                </c:pt>
                <c:pt idx="10">
                  <c:v>12</c:v>
                </c:pt>
                <c:pt idx="11">
                  <c:v>-30</c:v>
                </c:pt>
                <c:pt idx="12">
                  <c:v>40</c:v>
                </c:pt>
                <c:pt idx="13">
                  <c:v>-10</c:v>
                </c:pt>
                <c:pt idx="14">
                  <c:v>12</c:v>
                </c:pt>
                <c:pt idx="15">
                  <c:v>-30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Timeline!$B$24:$B$40</c15:f>
                <c15:dlblRangeCache>
                  <c:ptCount val="17"/>
                  <c:pt idx="1">
                    <c:v>Kickoff &amp; Budget Approval</c:v>
                  </c:pt>
                  <c:pt idx="2">
                    <c:v>Vendor Shortlist</c:v>
                  </c:pt>
                  <c:pt idx="3">
                    <c:v>Requirements Freeze</c:v>
                  </c:pt>
                  <c:pt idx="4">
                    <c:v>Prototype v1</c:v>
                  </c:pt>
                  <c:pt idx="5">
                    <c:v>Security Review</c:v>
                  </c:pt>
                  <c:pt idx="6">
                    <c:v>Contract Signed</c:v>
                  </c:pt>
                  <c:pt idx="7">
                    <c:v>Pilot Launch</c:v>
                  </c:pt>
                  <c:pt idx="8">
                    <c:v>Midyear Steering</c:v>
                  </c:pt>
                  <c:pt idx="9">
                    <c:v>User Training</c:v>
                  </c:pt>
                  <c:pt idx="10">
                    <c:v>Data Migration</c:v>
                  </c:pt>
                  <c:pt idx="11">
                    <c:v>UAT Complete</c:v>
                  </c:pt>
                  <c:pt idx="12">
                    <c:v>Marketing Prep</c:v>
                  </c:pt>
                  <c:pt idx="13">
                    <c:v>Go-Live</c:v>
                  </c:pt>
                  <c:pt idx="14">
                    <c:v>Post-Launch Review</c:v>
                  </c:pt>
                  <c:pt idx="15">
                    <c:v>Year-end Wrap-up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81C4-441A-AC84-EB64EE6E5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823023"/>
        <c:axId val="249826383"/>
      </c:lineChart>
      <c:dateAx>
        <c:axId val="249823023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one"/>
        <c:spPr>
          <a:noFill/>
          <a:ln w="5080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oval"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26383"/>
        <c:crosses val="autoZero"/>
        <c:auto val="1"/>
        <c:lblOffset val="100"/>
        <c:baseTimeUnit val="days"/>
      </c:dateAx>
      <c:valAx>
        <c:axId val="2498263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982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400047</xdr:colOff>
      <xdr:row>2</xdr:row>
      <xdr:rowOff>35718</xdr:rowOff>
    </xdr:from>
    <xdr:to>
      <xdr:col>12</xdr:col>
      <xdr:colOff>19049</xdr:colOff>
      <xdr:row>12</xdr:row>
      <xdr:rowOff>111918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6DCB53-4A9C-71BF-C3D2-3DD82DA92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904875</xdr:colOff>
      <xdr:row>2</xdr:row>
      <xdr:rowOff>9526</xdr:rowOff>
    </xdr:from>
    <xdr:to>
      <xdr:col>13</xdr:col>
      <xdr:colOff>752476</xdr:colOff>
      <xdr:row>9</xdr:row>
      <xdr:rowOff>85726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0999482-E467-4A11-B001-9908E7B3F403}"/>
            </a:ext>
          </a:extLst>
        </xdr:cNvPr>
        <xdr:cNvSpPr/>
      </xdr:nvSpPr>
      <xdr:spPr>
        <a:xfrm>
          <a:off x="11963400" y="542926"/>
          <a:ext cx="1676401" cy="1943100"/>
        </a:xfrm>
        <a:prstGeom prst="roundRect">
          <a:avLst/>
        </a:prstGeom>
        <a:solidFill>
          <a:srgbClr val="ECF5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Note: Min</a:t>
          </a:r>
          <a:r>
            <a:rPr lang="en-US" sz="1100" b="1" baseline="0">
              <a:solidFill>
                <a:schemeClr val="tx1"/>
              </a:solidFill>
            </a:rPr>
            <a:t> &amp; Max for date (horizontal) axis is set to 2026. 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aseline="0">
              <a:solidFill>
                <a:schemeClr val="tx1"/>
              </a:solidFill>
            </a:rPr>
            <a:t>Adjust the min and max or delete it, if you want it dynamic based on your selection. (See below)</a:t>
          </a:r>
        </a:p>
      </xdr:txBody>
    </xdr:sp>
    <xdr:clientData/>
  </xdr:twoCellAnchor>
  <xdr:twoCellAnchor>
    <xdr:from>
      <xdr:col>3</xdr:col>
      <xdr:colOff>595312</xdr:colOff>
      <xdr:row>23</xdr:row>
      <xdr:rowOff>219075</xdr:rowOff>
    </xdr:from>
    <xdr:to>
      <xdr:col>12</xdr:col>
      <xdr:colOff>738188</xdr:colOff>
      <xdr:row>34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43A54C-8D37-4D10-BDEB-C0126A5D2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571500</xdr:colOff>
      <xdr:row>22</xdr:row>
      <xdr:rowOff>133350</xdr:rowOff>
    </xdr:from>
    <xdr:to>
      <xdr:col>14</xdr:col>
      <xdr:colOff>419101</xdr:colOff>
      <xdr:row>26</xdr:row>
      <xdr:rowOff>185738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51C3AE1-D3EF-43D7-B557-6FB9681BF50A}"/>
            </a:ext>
          </a:extLst>
        </xdr:cNvPr>
        <xdr:cNvSpPr/>
      </xdr:nvSpPr>
      <xdr:spPr>
        <a:xfrm>
          <a:off x="12544425" y="6000750"/>
          <a:ext cx="1676401" cy="1119188"/>
        </a:xfrm>
        <a:prstGeom prst="roundRect">
          <a:avLst/>
        </a:prstGeom>
        <a:solidFill>
          <a:srgbClr val="ECF5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This version is</a:t>
          </a:r>
          <a:r>
            <a:rPr lang="en-US" sz="1100" baseline="0">
              <a:solidFill>
                <a:schemeClr val="tx1"/>
              </a:solidFill>
            </a:rPr>
            <a:t> dynamic based on dates in your dataset. Make sure the dates are recognized by Excel as official dates.</a:t>
          </a:r>
        </a:p>
      </xdr:txBody>
    </xdr:sp>
    <xdr:clientData/>
  </xdr:twoCellAnchor>
  <xdr:twoCellAnchor>
    <xdr:from>
      <xdr:col>3</xdr:col>
      <xdr:colOff>161925</xdr:colOff>
      <xdr:row>18</xdr:row>
      <xdr:rowOff>23811</xdr:rowOff>
    </xdr:from>
    <xdr:to>
      <xdr:col>5</xdr:col>
      <xdr:colOff>76200</xdr:colOff>
      <xdr:row>24</xdr:row>
      <xdr:rowOff>133350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B6873F9-A730-4A92-81F9-FB82A05F157A}"/>
            </a:ext>
          </a:extLst>
        </xdr:cNvPr>
        <xdr:cNvSpPr/>
      </xdr:nvSpPr>
      <xdr:spPr>
        <a:xfrm>
          <a:off x="3905250" y="4824411"/>
          <a:ext cx="1743075" cy="1709739"/>
        </a:xfrm>
        <a:prstGeom prst="roundRect">
          <a:avLst/>
        </a:prstGeom>
        <a:solidFill>
          <a:srgbClr val="ECF5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If you don't set a min/max date for your x-axis, add a buffer row with a date before your project start and after your project end. This creates breathing room at the edges.</a:t>
          </a:r>
          <a:endParaRPr lang="en-US" sz="1100" baseline="0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C18D7B-88BA-4BBD-B5DE-F347A09E980D}" name="TableTime" displayName="TableTime" ref="A3:C18" totalsRowShown="0" headerRowDxfId="8" dataDxfId="7">
  <autoFilter ref="A3:C18" xr:uid="{A0C18D7B-88BA-4BBD-B5DE-F347A09E980D}"/>
  <tableColumns count="3">
    <tableColumn id="1" xr3:uid="{179075F8-2913-4486-967C-AB68E24A672D}" name="Date" dataDxfId="6"/>
    <tableColumn id="3" xr3:uid="{CEF5EDD9-571F-444B-8772-7736B58AEA7F}" name="Milestone" dataDxfId="5"/>
    <tableColumn id="4" xr3:uid="{CDE3E785-511D-4A7F-B750-28367F1C00B4}" name="Level" dataDxfId="4">
      <calculatedColumnFormula array="1">CHOOSE(MOD(ROW()-ROW(TableTime[#Headers])-1,4)+1,40,-10,12,-30)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8226B4-47ED-4917-BF3A-1966AB82587A}" name="TableTime3" displayName="TableTime3" ref="A23:C40" totalsRowShown="0" headerRowDxfId="3">
  <autoFilter ref="A23:C40" xr:uid="{638226B4-47ED-4917-BF3A-1966AB82587A}"/>
  <tableColumns count="3">
    <tableColumn id="1" xr3:uid="{3298F7E7-56A8-4C9D-BBC2-AE60E847601A}" name="Date" dataDxfId="2"/>
    <tableColumn id="3" xr3:uid="{AE671A35-B6DF-4559-BC7F-4F2C6C317A6B}" name="Milestone" dataDxfId="1"/>
    <tableColumn id="4" xr3:uid="{2ED73E00-790D-49AE-B030-BECB41BCBA9C}" name="Level" dataDxfId="0">
      <calculatedColumnFormula array="1">CHOOSE(MOD(ROW()-ROW(TableTime3[#Headers])-1,4)+1,40,-10,12,-30)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DEC7-089B-444D-A425-EAB5129AB29C}">
  <dimension ref="A1:C40"/>
  <sheetViews>
    <sheetView showGridLines="0" tabSelected="1" workbookViewId="0">
      <selection activeCell="P13" sqref="P13"/>
    </sheetView>
  </sheetViews>
  <sheetFormatPr defaultRowHeight="21"/>
  <cols>
    <col min="1" max="1" width="8.4375" customWidth="1"/>
    <col min="2" max="2" width="18.5625" customWidth="1"/>
  </cols>
  <sheetData>
    <row r="1" spans="1:3">
      <c r="A1" s="1" t="s">
        <v>0</v>
      </c>
      <c r="B1" s="2"/>
      <c r="C1" s="2"/>
    </row>
    <row r="3" spans="1:3">
      <c r="A3" s="3" t="s">
        <v>1</v>
      </c>
      <c r="B3" s="3" t="s">
        <v>2</v>
      </c>
      <c r="C3" s="3" t="s">
        <v>3</v>
      </c>
    </row>
    <row r="4" spans="1:3">
      <c r="A4" s="5">
        <v>46030</v>
      </c>
      <c r="B4" s="6" t="s">
        <v>4</v>
      </c>
      <c r="C4" s="4" cm="1">
        <f t="array" ref="C4">CHOOSE(MOD(ROW()-ROW(TableTime[#Headers])-1,4)+1,40,-10,12,-30)</f>
        <v>40</v>
      </c>
    </row>
    <row r="5" spans="1:3">
      <c r="A5" s="7">
        <v>46048</v>
      </c>
      <c r="B5" s="8" t="s">
        <v>5</v>
      </c>
      <c r="C5" s="4" cm="1">
        <f t="array" ref="C5">CHOOSE(MOD(ROW()-ROW(TableTime[#Headers])-1,4)+1,40,-10,12,-30)</f>
        <v>-10</v>
      </c>
    </row>
    <row r="6" spans="1:3">
      <c r="A6" s="7">
        <v>46059</v>
      </c>
      <c r="B6" s="8" t="s">
        <v>6</v>
      </c>
      <c r="C6" s="4" cm="1">
        <f t="array" ref="C6">CHOOSE(MOD(ROW()-ROW(TableTime[#Headers])-1,4)+1,40,-10,12,-30)</f>
        <v>12</v>
      </c>
    </row>
    <row r="7" spans="1:3">
      <c r="A7" s="7">
        <v>46096</v>
      </c>
      <c r="B7" s="8" t="s">
        <v>7</v>
      </c>
      <c r="C7" s="4" cm="1">
        <f t="array" ref="C7">CHOOSE(MOD(ROW()-ROW(TableTime[#Headers])-1,4)+1,40,-10,12,-30)</f>
        <v>-30</v>
      </c>
    </row>
    <row r="8" spans="1:3">
      <c r="A8" s="7">
        <v>46124</v>
      </c>
      <c r="B8" s="8" t="s">
        <v>8</v>
      </c>
      <c r="C8" s="4" cm="1">
        <f t="array" ref="C8">CHOOSE(MOD(ROW()-ROW(TableTime[#Headers])-1,4)+1,40,-10,12,-30)</f>
        <v>40</v>
      </c>
    </row>
    <row r="9" spans="1:3">
      <c r="A9" s="7">
        <v>46140</v>
      </c>
      <c r="B9" s="8" t="s">
        <v>9</v>
      </c>
      <c r="C9" s="4" cm="1">
        <f t="array" ref="C9">CHOOSE(MOD(ROW()-ROW(TableTime[#Headers])-1,4)+1,40,-10,12,-30)</f>
        <v>-10</v>
      </c>
    </row>
    <row r="10" spans="1:3">
      <c r="A10" s="7">
        <v>46154</v>
      </c>
      <c r="B10" s="8" t="s">
        <v>10</v>
      </c>
      <c r="C10" s="4" cm="1">
        <f t="array" ref="C10">CHOOSE(MOD(ROW()-ROW(TableTime[#Headers])-1,4)+1,40,-10,12,-30)</f>
        <v>12</v>
      </c>
    </row>
    <row r="11" spans="1:3">
      <c r="A11" s="7">
        <v>46190</v>
      </c>
      <c r="B11" s="8" t="s">
        <v>11</v>
      </c>
      <c r="C11" s="4" cm="1">
        <f t="array" ref="C11">CHOOSE(MOD(ROW()-ROW(TableTime[#Headers])-1,4)+1,40,-10,12,-30)</f>
        <v>-30</v>
      </c>
    </row>
    <row r="12" spans="1:3">
      <c r="A12" s="7">
        <v>46210</v>
      </c>
      <c r="B12" s="8" t="s">
        <v>12</v>
      </c>
      <c r="C12" s="4" cm="1">
        <f t="array" ref="C12">CHOOSE(MOD(ROW()-ROW(TableTime[#Headers])-1,4)+1,40,-10,12,-30)</f>
        <v>40</v>
      </c>
    </row>
    <row r="13" spans="1:3">
      <c r="A13" s="7">
        <v>46267</v>
      </c>
      <c r="B13" s="8" t="s">
        <v>13</v>
      </c>
      <c r="C13" s="4" cm="1">
        <f t="array" ref="C13">CHOOSE(MOD(ROW()-ROW(TableTime[#Headers])-1,4)+1,40,-10,12,-30)</f>
        <v>-10</v>
      </c>
    </row>
    <row r="14" spans="1:3">
      <c r="A14" s="7">
        <v>46293</v>
      </c>
      <c r="B14" s="8" t="s">
        <v>14</v>
      </c>
      <c r="C14" s="4" cm="1">
        <f t="array" ref="C14">CHOOSE(MOD(ROW()-ROW(TableTime[#Headers])-1,4)+1,40,-10,12,-30)</f>
        <v>12</v>
      </c>
    </row>
    <row r="15" spans="1:3">
      <c r="A15" s="7">
        <v>46315</v>
      </c>
      <c r="B15" s="8" t="s">
        <v>15</v>
      </c>
      <c r="C15" s="4" cm="1">
        <f t="array" ref="C15">CHOOSE(MOD(ROW()-ROW(TableTime[#Headers])-1,4)+1,40,-10,12,-30)</f>
        <v>-30</v>
      </c>
    </row>
    <row r="16" spans="1:3">
      <c r="A16" s="7">
        <v>46337</v>
      </c>
      <c r="B16" s="8" t="s">
        <v>16</v>
      </c>
      <c r="C16" s="4" cm="1">
        <f t="array" ref="C16">CHOOSE(MOD(ROW()-ROW(TableTime[#Headers])-1,4)+1,40,-10,12,-30)</f>
        <v>40</v>
      </c>
    </row>
    <row r="17" spans="1:3">
      <c r="A17" s="7">
        <v>46357</v>
      </c>
      <c r="B17" s="8" t="s">
        <v>17</v>
      </c>
      <c r="C17" s="4" cm="1">
        <f t="array" ref="C17">CHOOSE(MOD(ROW()-ROW(TableTime[#Headers])-1,4)+1,40,-10,12,-30)</f>
        <v>-10</v>
      </c>
    </row>
    <row r="18" spans="1:3">
      <c r="A18" s="7">
        <v>46367</v>
      </c>
      <c r="B18" s="8" t="s">
        <v>18</v>
      </c>
      <c r="C18" s="4" cm="1">
        <f t="array" ref="C18">CHOOSE(MOD(ROW()-ROW(TableTime[#Headers])-1,4)+1,40,-10,12,-30)</f>
        <v>12</v>
      </c>
    </row>
    <row r="23" spans="1:3">
      <c r="A23" s="3" t="s">
        <v>1</v>
      </c>
      <c r="B23" s="3" t="s">
        <v>2</v>
      </c>
      <c r="C23" s="3" t="s">
        <v>3</v>
      </c>
    </row>
    <row r="24" spans="1:3">
      <c r="A24" s="7">
        <v>46023</v>
      </c>
      <c r="B24" s="6"/>
      <c r="C24" s="4"/>
    </row>
    <row r="25" spans="1:3">
      <c r="A25" s="7">
        <v>46030</v>
      </c>
      <c r="B25" s="8" t="s">
        <v>4</v>
      </c>
      <c r="C25" s="4" cm="1">
        <f t="array" ref="C25">CHOOSE(MOD(ROW()-ROW(TableTime3[#Headers])-1,4)+1,-10,40,-30,12)</f>
        <v>40</v>
      </c>
    </row>
    <row r="26" spans="1:3">
      <c r="A26" s="7">
        <v>46048</v>
      </c>
      <c r="B26" s="8" t="s">
        <v>5</v>
      </c>
      <c r="C26" s="4" cm="1">
        <f t="array" ref="C26">CHOOSE(MOD(ROW()-ROW(TableTime3[#Headers])-1,4)+1,40,-10,12,-30)</f>
        <v>12</v>
      </c>
    </row>
    <row r="27" spans="1:3">
      <c r="A27" s="7">
        <v>46059</v>
      </c>
      <c r="B27" s="8" t="s">
        <v>6</v>
      </c>
      <c r="C27" s="4" cm="1">
        <f t="array" ref="C27">CHOOSE(MOD(ROW()-ROW(TableTime3[#Headers])-1,4)+1,40,-10,12,-30)</f>
        <v>-30</v>
      </c>
    </row>
    <row r="28" spans="1:3">
      <c r="A28" s="7">
        <v>46096</v>
      </c>
      <c r="B28" s="8" t="s">
        <v>7</v>
      </c>
      <c r="C28" s="4" cm="1">
        <f t="array" ref="C28">CHOOSE(MOD(ROW()-ROW(TableTime3[#Headers])-1,4)+1,40,-10,12,-30)</f>
        <v>40</v>
      </c>
    </row>
    <row r="29" spans="1:3">
      <c r="A29" s="7">
        <v>46124</v>
      </c>
      <c r="B29" s="8" t="s">
        <v>8</v>
      </c>
      <c r="C29" s="4" cm="1">
        <f t="array" ref="C29">CHOOSE(MOD(ROW()-ROW(TableTime3[#Headers])-1,4)+1,40,-10,12,-30)</f>
        <v>-10</v>
      </c>
    </row>
    <row r="30" spans="1:3">
      <c r="A30" s="7">
        <v>46140</v>
      </c>
      <c r="B30" s="8" t="s">
        <v>9</v>
      </c>
      <c r="C30" s="4" cm="1">
        <f t="array" ref="C30">CHOOSE(MOD(ROW()-ROW(TableTime3[#Headers])-1,4)+1,40,-10,12,-30)</f>
        <v>12</v>
      </c>
    </row>
    <row r="31" spans="1:3">
      <c r="A31" s="7">
        <v>46154</v>
      </c>
      <c r="B31" s="8" t="s">
        <v>10</v>
      </c>
      <c r="C31" s="4" cm="1">
        <f t="array" ref="C31">CHOOSE(MOD(ROW()-ROW(TableTime3[#Headers])-1,4)+1,40,-10,12,-30)</f>
        <v>-30</v>
      </c>
    </row>
    <row r="32" spans="1:3">
      <c r="A32" s="7">
        <v>46190</v>
      </c>
      <c r="B32" s="8" t="s">
        <v>11</v>
      </c>
      <c r="C32" s="4" cm="1">
        <f t="array" ref="C32">CHOOSE(MOD(ROW()-ROW(TableTime3[#Headers])-1,4)+1,40,-10,12,-30)</f>
        <v>40</v>
      </c>
    </row>
    <row r="33" spans="1:3">
      <c r="A33" s="7">
        <v>46210</v>
      </c>
      <c r="B33" s="8" t="s">
        <v>12</v>
      </c>
      <c r="C33" s="4" cm="1">
        <f t="array" ref="C33">CHOOSE(MOD(ROW()-ROW(TableTime3[#Headers])-1,4)+1,40,-10,12,-30)</f>
        <v>-10</v>
      </c>
    </row>
    <row r="34" spans="1:3">
      <c r="A34" s="7">
        <v>46267</v>
      </c>
      <c r="B34" s="8" t="s">
        <v>13</v>
      </c>
      <c r="C34" s="4" cm="1">
        <f t="array" ref="C34">CHOOSE(MOD(ROW()-ROW(TableTime3[#Headers])-1,4)+1,40,-10,12,-30)</f>
        <v>12</v>
      </c>
    </row>
    <row r="35" spans="1:3">
      <c r="A35" s="7">
        <v>46293</v>
      </c>
      <c r="B35" s="8" t="s">
        <v>14</v>
      </c>
      <c r="C35" s="4" cm="1">
        <f t="array" ref="C35">CHOOSE(MOD(ROW()-ROW(TableTime3[#Headers])-1,4)+1,40,-10,12,-30)</f>
        <v>-30</v>
      </c>
    </row>
    <row r="36" spans="1:3">
      <c r="A36" s="7">
        <v>46315</v>
      </c>
      <c r="B36" s="8" t="s">
        <v>15</v>
      </c>
      <c r="C36" s="4" cm="1">
        <f t="array" ref="C36">CHOOSE(MOD(ROW()-ROW(TableTime3[#Headers])-1,4)+1,40,-10,12,-30)</f>
        <v>40</v>
      </c>
    </row>
    <row r="37" spans="1:3">
      <c r="A37" s="7">
        <v>46337</v>
      </c>
      <c r="B37" s="8" t="s">
        <v>16</v>
      </c>
      <c r="C37" s="4" cm="1">
        <f t="array" ref="C37">CHOOSE(MOD(ROW()-ROW(TableTime3[#Headers])-1,4)+1,40,-10,12,-30)</f>
        <v>-10</v>
      </c>
    </row>
    <row r="38" spans="1:3">
      <c r="A38" s="36">
        <v>46357</v>
      </c>
      <c r="B38" s="37" t="s">
        <v>17</v>
      </c>
      <c r="C38" s="4" cm="1">
        <f t="array" ref="C38">CHOOSE(MOD(ROW()-ROW(TableTime3[#Headers])-1,4)+1,40,-10,12,-30)</f>
        <v>12</v>
      </c>
    </row>
    <row r="39" spans="1:3">
      <c r="A39" s="7">
        <v>46367</v>
      </c>
      <c r="B39" s="8" t="s">
        <v>18</v>
      </c>
      <c r="C39" s="4" cm="1">
        <f t="array" ref="C39">CHOOSE(MOD(ROW()-ROW(TableTime3[#Headers])-1,4)+1,40,-10,12,-30)</f>
        <v>-30</v>
      </c>
    </row>
    <row r="40" spans="1:3">
      <c r="A40" s="7">
        <v>46387</v>
      </c>
      <c r="B40" s="8"/>
      <c r="C40" s="4"/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C944-5ED1-4A10-BD99-6D401D3E2CE0}">
  <dimension ref="A2:H92"/>
  <sheetViews>
    <sheetView showGridLines="0" topLeftCell="A69" workbookViewId="0">
      <selection activeCell="D53" sqref="D53"/>
    </sheetView>
  </sheetViews>
  <sheetFormatPr defaultColWidth="9.1875" defaultRowHeight="18.5"/>
  <cols>
    <col min="1" max="1" width="4.4375" style="11" customWidth="1"/>
    <col min="2" max="2" width="12.625" style="11" customWidth="1"/>
    <col min="3" max="3" width="33.0625" style="11" customWidth="1"/>
    <col min="4" max="4" width="9.1875" style="11" customWidth="1"/>
    <col min="5" max="16384" width="9.1875" style="11"/>
  </cols>
  <sheetData>
    <row r="2" spans="1:8" ht="21">
      <c r="A2" s="35"/>
      <c r="B2" s="14" t="s">
        <v>19</v>
      </c>
    </row>
    <row r="4" spans="1:8" ht="36" customHeight="1">
      <c r="B4" s="10" t="str">
        <f ca="1">_xlfn.FORMULATEXT(Timeline!C4)</f>
        <v>=CHOOSE(MOD(ROW()-ROW(TableTime[#Headers])-1,4)+1,40,-10,12,-30)</v>
      </c>
      <c r="C4" s="15"/>
      <c r="D4" s="16"/>
      <c r="E4" s="17"/>
      <c r="F4"/>
      <c r="G4"/>
      <c r="H4"/>
    </row>
    <row r="5" spans="1:8">
      <c r="B5" s="18"/>
      <c r="C5" s="18"/>
    </row>
    <row r="6" spans="1:8">
      <c r="B6" s="11" t="s">
        <v>20</v>
      </c>
      <c r="C6" s="18"/>
    </row>
    <row r="7" spans="1:8">
      <c r="B7" s="22" t="s">
        <v>21</v>
      </c>
      <c r="C7" s="18"/>
    </row>
    <row r="8" spans="1:8">
      <c r="B8" s="22" t="s">
        <v>22</v>
      </c>
      <c r="C8" s="18"/>
    </row>
    <row r="9" spans="1:8">
      <c r="B9" s="22" t="s">
        <v>23</v>
      </c>
      <c r="C9" s="18"/>
    </row>
    <row r="10" spans="1:8">
      <c r="B10" s="22" t="s">
        <v>24</v>
      </c>
      <c r="C10" s="18"/>
    </row>
    <row r="11" spans="1:8">
      <c r="B11" s="22"/>
      <c r="C11" s="18"/>
    </row>
    <row r="12" spans="1:8">
      <c r="B12" s="11" t="s">
        <v>25</v>
      </c>
      <c r="C12" s="18"/>
    </row>
    <row r="13" spans="1:8">
      <c r="B13" s="22"/>
      <c r="C13" s="18"/>
    </row>
    <row r="14" spans="1:8" ht="21">
      <c r="B14" s="9" t="s">
        <v>26</v>
      </c>
      <c r="C14" s="19"/>
      <c r="D14" s="19"/>
    </row>
    <row r="16" spans="1:8" ht="36" customHeight="1">
      <c r="B16" s="10" t="s">
        <v>27</v>
      </c>
      <c r="C16" s="17"/>
      <c r="D16"/>
      <c r="E16"/>
    </row>
    <row r="18" spans="2:3">
      <c r="B18" s="11" t="s">
        <v>28</v>
      </c>
    </row>
    <row r="19" spans="2:3">
      <c r="B19" s="11" t="s">
        <v>29</v>
      </c>
    </row>
    <row r="21" spans="2:3">
      <c r="B21" s="11" t="s">
        <v>30</v>
      </c>
    </row>
    <row r="22" spans="2:3">
      <c r="B22" s="11" t="s">
        <v>31</v>
      </c>
    </row>
    <row r="24" spans="2:3">
      <c r="B24" s="21" t="s">
        <v>32</v>
      </c>
    </row>
    <row r="25" spans="2:3" ht="25.15" customHeight="1">
      <c r="B25" s="24" t="s">
        <v>33</v>
      </c>
      <c r="C25" s="25" t="s">
        <v>34</v>
      </c>
    </row>
    <row r="26" spans="2:3">
      <c r="B26" s="26" t="s">
        <v>35</v>
      </c>
      <c r="C26" s="26" t="s">
        <v>36</v>
      </c>
    </row>
    <row r="27" spans="2:3">
      <c r="B27" s="27">
        <v>5</v>
      </c>
      <c r="C27" s="28" t="s">
        <v>37</v>
      </c>
    </row>
    <row r="28" spans="2:3">
      <c r="B28" s="27">
        <v>6</v>
      </c>
      <c r="C28" s="28" t="s">
        <v>38</v>
      </c>
    </row>
    <row r="29" spans="2:3">
      <c r="B29" s="27">
        <v>7</v>
      </c>
      <c r="C29" s="28" t="s">
        <v>39</v>
      </c>
    </row>
    <row r="31" spans="2:3">
      <c r="B31" s="11" t="s">
        <v>40</v>
      </c>
    </row>
    <row r="33" spans="2:4" ht="21">
      <c r="B33" s="9" t="s">
        <v>41</v>
      </c>
      <c r="C33" s="20"/>
      <c r="D33" s="20"/>
    </row>
    <row r="35" spans="2:4" ht="36" customHeight="1">
      <c r="B35" s="12" t="s">
        <v>42</v>
      </c>
    </row>
    <row r="37" spans="2:4">
      <c r="B37" s="11" t="s">
        <v>43</v>
      </c>
    </row>
    <row r="38" spans="2:4">
      <c r="B38" s="11" t="s">
        <v>44</v>
      </c>
    </row>
    <row r="40" spans="2:4">
      <c r="B40" s="11" t="s">
        <v>45</v>
      </c>
    </row>
    <row r="42" spans="2:4" ht="25.15" customHeight="1">
      <c r="B42" s="29" t="s">
        <v>46</v>
      </c>
      <c r="C42" s="30" t="s">
        <v>47</v>
      </c>
    </row>
    <row r="43" spans="2:4">
      <c r="B43" s="31">
        <v>0</v>
      </c>
      <c r="C43" s="32">
        <f t="shared" ref="C43:C48" si="0">MOD(B43,4)</f>
        <v>0</v>
      </c>
    </row>
    <row r="44" spans="2:4">
      <c r="B44" s="33">
        <v>1</v>
      </c>
      <c r="C44" s="27">
        <f t="shared" si="0"/>
        <v>1</v>
      </c>
    </row>
    <row r="45" spans="2:4">
      <c r="B45" s="33">
        <v>2</v>
      </c>
      <c r="C45" s="27">
        <f t="shared" si="0"/>
        <v>2</v>
      </c>
    </row>
    <row r="46" spans="2:4">
      <c r="B46" s="33">
        <v>3</v>
      </c>
      <c r="C46" s="27">
        <f t="shared" si="0"/>
        <v>3</v>
      </c>
    </row>
    <row r="47" spans="2:4">
      <c r="B47" s="33">
        <v>4</v>
      </c>
      <c r="C47" s="27">
        <f t="shared" si="0"/>
        <v>0</v>
      </c>
    </row>
    <row r="48" spans="2:4">
      <c r="B48" s="33">
        <v>5</v>
      </c>
      <c r="C48" s="27">
        <f t="shared" si="0"/>
        <v>1</v>
      </c>
    </row>
    <row r="50" spans="2:4">
      <c r="B50" s="11" t="s">
        <v>48</v>
      </c>
    </row>
    <row r="51" spans="2:4">
      <c r="B51" s="23" t="s">
        <v>49</v>
      </c>
    </row>
    <row r="53" spans="2:4" ht="21">
      <c r="B53" s="9" t="s">
        <v>50</v>
      </c>
      <c r="C53" s="20"/>
      <c r="D53" s="20"/>
    </row>
    <row r="55" spans="2:4" ht="36" customHeight="1">
      <c r="B55" s="12" t="s">
        <v>51</v>
      </c>
    </row>
    <row r="56" spans="2:4" ht="21">
      <c r="B56" s="13"/>
    </row>
    <row r="57" spans="2:4">
      <c r="B57" s="11" t="s">
        <v>52</v>
      </c>
    </row>
    <row r="58" spans="2:4">
      <c r="B58" s="11" t="s">
        <v>53</v>
      </c>
    </row>
    <row r="59" spans="2:4">
      <c r="B59" s="23" t="s">
        <v>54</v>
      </c>
    </row>
    <row r="61" spans="2:4" ht="21">
      <c r="B61" s="9" t="s">
        <v>55</v>
      </c>
      <c r="C61" s="20"/>
      <c r="D61" s="20"/>
    </row>
    <row r="63" spans="2:4" ht="36" customHeight="1">
      <c r="B63" s="10" t="s">
        <v>56</v>
      </c>
      <c r="C63" s="17"/>
      <c r="D63"/>
    </row>
    <row r="65" spans="2:4">
      <c r="B65" s="11" t="s">
        <v>57</v>
      </c>
    </row>
    <row r="67" spans="2:4" ht="25.15" customHeight="1">
      <c r="B67" s="24" t="s">
        <v>58</v>
      </c>
      <c r="C67" s="24" t="s">
        <v>59</v>
      </c>
    </row>
    <row r="68" spans="2:4">
      <c r="B68" s="33">
        <v>1</v>
      </c>
      <c r="C68" s="27">
        <v>40</v>
      </c>
    </row>
    <row r="69" spans="2:4">
      <c r="B69" s="33">
        <v>2</v>
      </c>
      <c r="C69" s="27">
        <v>-10</v>
      </c>
    </row>
    <row r="70" spans="2:4">
      <c r="B70" s="33">
        <v>3</v>
      </c>
      <c r="C70" s="27">
        <v>12</v>
      </c>
    </row>
    <row r="71" spans="2:4">
      <c r="B71" s="33">
        <v>4</v>
      </c>
      <c r="C71" s="27">
        <v>-30</v>
      </c>
    </row>
    <row r="73" spans="2:4">
      <c r="B73" s="11" t="s">
        <v>60</v>
      </c>
    </row>
    <row r="74" spans="2:4">
      <c r="B74" s="23" t="s">
        <v>61</v>
      </c>
    </row>
    <row r="76" spans="2:4" ht="21">
      <c r="B76" s="9" t="s">
        <v>62</v>
      </c>
      <c r="C76" s="19"/>
      <c r="D76" s="19"/>
    </row>
    <row r="78" spans="2:4">
      <c r="B78" s="11" t="s">
        <v>63</v>
      </c>
    </row>
    <row r="79" spans="2:4">
      <c r="B79" s="11" t="s">
        <v>64</v>
      </c>
    </row>
    <row r="80" spans="2:4">
      <c r="B80" s="11" t="s">
        <v>65</v>
      </c>
    </row>
    <row r="81" spans="2:4">
      <c r="B81" s="11" t="s">
        <v>66</v>
      </c>
    </row>
    <row r="83" spans="2:4" ht="21">
      <c r="B83" s="9" t="s">
        <v>67</v>
      </c>
      <c r="C83" s="19"/>
      <c r="D83" s="19"/>
    </row>
    <row r="85" spans="2:4">
      <c r="B85" s="11" t="s">
        <v>68</v>
      </c>
    </row>
    <row r="86" spans="2:4">
      <c r="B86" s="22"/>
    </row>
    <row r="87" spans="2:4">
      <c r="B87" s="22" t="s">
        <v>69</v>
      </c>
    </row>
    <row r="88" spans="2:4">
      <c r="B88" s="22" t="s">
        <v>70</v>
      </c>
    </row>
    <row r="90" spans="2:4">
      <c r="B90" s="11" t="s">
        <v>71</v>
      </c>
    </row>
    <row r="91" spans="2:4" ht="36" customHeight="1">
      <c r="B91" s="34" t="s">
        <v>72</v>
      </c>
      <c r="C91" s="17"/>
    </row>
    <row r="92" spans="2:4">
      <c r="B92" s="11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9" ma:contentTypeDescription="Create a new document." ma:contentTypeScope="" ma:versionID="0c68279696da43b68ab56db52b1a40fa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f6efd229d185ffb8478a1ceeb4abbe11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954CA9-8B38-4BF5-8767-3007E8B0EF77}">
  <ds:schemaRefs>
    <ds:schemaRef ds:uri="http://schemas.microsoft.com/office/2006/metadata/properties"/>
    <ds:schemaRef ds:uri="http://schemas.microsoft.com/office/infopath/2007/PartnerControls"/>
    <ds:schemaRef ds:uri="8602ebc8-99ea-4c12-aabd-36e02eea0ec4"/>
    <ds:schemaRef ds:uri="8ea0a048-5e79-414d-a984-5fa877d55858"/>
  </ds:schemaRefs>
</ds:datastoreItem>
</file>

<file path=customXml/itemProps2.xml><?xml version="1.0" encoding="utf-8"?>
<ds:datastoreItem xmlns:ds="http://schemas.openxmlformats.org/officeDocument/2006/customXml" ds:itemID="{19702F0C-39E2-45E0-86C6-237F2A709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384157-0604-47B0-97A0-715AC5CFBD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</vt:lpstr>
      <vt:lpstr>Formula 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Leila</dc:creator>
  <cp:keywords/>
  <dc:description/>
  <cp:lastModifiedBy>Zelian Shao</cp:lastModifiedBy>
  <cp:revision/>
  <dcterms:created xsi:type="dcterms:W3CDTF">2025-10-23T13:54:41Z</dcterms:created>
  <dcterms:modified xsi:type="dcterms:W3CDTF">2025-12-26T14:38:23Z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